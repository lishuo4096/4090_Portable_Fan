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huo\Desktop\4090FAN\BOM\"/>
    </mc:Choice>
  </mc:AlternateContent>
  <xr:revisionPtr revIDLastSave="0" documentId="13_ncr:1_{3CE5682B-1679-4B28-9965-EFF82C18870A}" xr6:coauthVersionLast="47" xr6:coauthVersionMax="47" xr10:uidLastSave="{00000000-0000-0000-0000-000000000000}"/>
  <bookViews>
    <workbookView xWindow="-110" yWindow="-110" windowWidth="25820" windowHeight="15500" xr2:uid="{40622657-219C-4FD4-96B3-87751E596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2" i="1"/>
</calcChain>
</file>

<file path=xl/sharedStrings.xml><?xml version="1.0" encoding="utf-8"?>
<sst xmlns="http://schemas.openxmlformats.org/spreadsheetml/2006/main" count="144" uniqueCount="86">
  <si>
    <t>编号</t>
    <phoneticPr fontId="1" type="noConversion"/>
  </si>
  <si>
    <t>数量</t>
    <phoneticPr fontId="1" type="noConversion"/>
  </si>
  <si>
    <t>名称</t>
    <phoneticPr fontId="1" type="noConversion"/>
  </si>
  <si>
    <t>制造商</t>
    <phoneticPr fontId="1" type="noConversion"/>
  </si>
  <si>
    <t>值</t>
    <phoneticPr fontId="1" type="noConversion"/>
  </si>
  <si>
    <t>价格</t>
    <phoneticPr fontId="1" type="noConversion"/>
  </si>
  <si>
    <t>备注</t>
    <phoneticPr fontId="1" type="noConversion"/>
  </si>
  <si>
    <t>AD4A31K05</t>
    <phoneticPr fontId="1" type="noConversion"/>
  </si>
  <si>
    <t>NIDEC</t>
    <phoneticPr fontId="1" type="noConversion"/>
  </si>
  <si>
    <t>/</t>
    <phoneticPr fontId="1" type="noConversion"/>
  </si>
  <si>
    <t>4090同款3相FDB轴流风扇</t>
    <phoneticPr fontId="1" type="noConversion"/>
  </si>
  <si>
    <t>LR2170SK 5800</t>
    <phoneticPr fontId="1" type="noConversion"/>
  </si>
  <si>
    <t>LISHEN</t>
    <phoneticPr fontId="1" type="noConversion"/>
  </si>
  <si>
    <t>力神21700SK 5800mah</t>
    <phoneticPr fontId="1" type="noConversion"/>
  </si>
  <si>
    <t>STC8H1K08T</t>
    <phoneticPr fontId="1" type="noConversion"/>
  </si>
  <si>
    <t>STC</t>
    <phoneticPr fontId="1" type="noConversion"/>
  </si>
  <si>
    <t>带触摸按键控制器的8051单片机</t>
    <phoneticPr fontId="1" type="noConversion"/>
  </si>
  <si>
    <t>MP3431</t>
    <phoneticPr fontId="1" type="noConversion"/>
  </si>
  <si>
    <t>MPS</t>
    <phoneticPr fontId="1" type="noConversion"/>
  </si>
  <si>
    <t>封装</t>
    <phoneticPr fontId="1" type="noConversion"/>
  </si>
  <si>
    <t>21A开关电流 BOOST升压控制器</t>
    <phoneticPr fontId="1" type="noConversion"/>
  </si>
  <si>
    <t>SLM6610</t>
    <phoneticPr fontId="1" type="noConversion"/>
  </si>
  <si>
    <t>单节锂电池3A BUCK降压充电芯片</t>
    <phoneticPr fontId="1" type="noConversion"/>
  </si>
  <si>
    <t>SK6812SIDE-A</t>
    <phoneticPr fontId="1" type="noConversion"/>
  </si>
  <si>
    <t>无锡松朗威</t>
    <phoneticPr fontId="1" type="noConversion"/>
  </si>
  <si>
    <t>欧斯科光电</t>
    <phoneticPr fontId="1" type="noConversion"/>
  </si>
  <si>
    <t>单总线彩灯</t>
    <phoneticPr fontId="1" type="noConversion"/>
  </si>
  <si>
    <t>ASDM30P11TD-R</t>
    <phoneticPr fontId="1" type="noConversion"/>
  </si>
  <si>
    <t>P沟道MOS管</t>
    <phoneticPr fontId="1" type="noConversion"/>
  </si>
  <si>
    <t>SS8050</t>
    <phoneticPr fontId="1" type="noConversion"/>
  </si>
  <si>
    <t>SOT23-3 L1.3W1.9</t>
    <phoneticPr fontId="1" type="noConversion"/>
  </si>
  <si>
    <t>DFN8 L3W3 P0.65 BL</t>
    <phoneticPr fontId="1" type="noConversion"/>
  </si>
  <si>
    <t>LED-SMD L4W1.6</t>
    <phoneticPr fontId="1" type="noConversion"/>
  </si>
  <si>
    <t>DFN8 L3W3 P0.65 EP</t>
    <phoneticPr fontId="1" type="noConversion"/>
  </si>
  <si>
    <t>QFN13 L3W4</t>
    <phoneticPr fontId="1" type="noConversion"/>
  </si>
  <si>
    <t>QFN20/L3W3/P0.4/EP</t>
    <phoneticPr fontId="1" type="noConversion"/>
  </si>
  <si>
    <t>NPN三极管</t>
    <phoneticPr fontId="1" type="noConversion"/>
  </si>
  <si>
    <t>TYPEC 6P W5.0</t>
    <phoneticPr fontId="1" type="noConversion"/>
  </si>
  <si>
    <t>SHOUHAN</t>
    <phoneticPr fontId="1" type="noConversion"/>
  </si>
  <si>
    <t>USB-C-SMD_TYPE-C-6P-WTL5.0-108</t>
    <phoneticPr fontId="1" type="noConversion"/>
  </si>
  <si>
    <t>5mm长度 USBC卧贴</t>
    <phoneticPr fontId="1" type="noConversion"/>
  </si>
  <si>
    <t>FXL0630-2R2</t>
    <phoneticPr fontId="1" type="noConversion"/>
  </si>
  <si>
    <t>cjiang</t>
    <phoneticPr fontId="1" type="noConversion"/>
  </si>
  <si>
    <t>IND-SMD_L7.0-W6.6</t>
    <phoneticPr fontId="1" type="noConversion"/>
  </si>
  <si>
    <t>0630 2.2uh电感</t>
    <phoneticPr fontId="1" type="noConversion"/>
  </si>
  <si>
    <t>2.2uH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</si>
  <si>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0650</t>
    </r>
    <r>
      <rPr>
        <sz val="11"/>
        <color theme="1"/>
        <rFont val="等线"/>
        <family val="2"/>
        <charset val="134"/>
        <scheme val="minor"/>
      </rPr>
      <t xml:space="preserve"> 2.2uh电感，不可与0630替换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</si>
  <si>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FXL0650</t>
    </r>
    <r>
      <rPr>
        <sz val="11"/>
        <color theme="1"/>
        <rFont val="等线"/>
        <family val="2"/>
        <charset val="134"/>
        <scheme val="minor"/>
      </rPr>
      <t>-2R2</t>
    </r>
    <phoneticPr fontId="1" type="noConversion"/>
  </si>
  <si>
    <t>R0805</t>
  </si>
  <si>
    <t>R0805</t>
    <phoneticPr fontId="1" type="noConversion"/>
  </si>
  <si>
    <t>1%精度 0805电阻</t>
    <phoneticPr fontId="1" type="noConversion"/>
  </si>
  <si>
    <t>10K</t>
    <phoneticPr fontId="1" type="noConversion"/>
  </si>
  <si>
    <t>5.1K</t>
    <phoneticPr fontId="1" type="noConversion"/>
  </si>
  <si>
    <t>470R</t>
    <phoneticPr fontId="1" type="noConversion"/>
  </si>
  <si>
    <t>604K</t>
    <phoneticPr fontId="1" type="noConversion"/>
  </si>
  <si>
    <t>47K</t>
    <phoneticPr fontId="1" type="noConversion"/>
  </si>
  <si>
    <t>240R</t>
    <phoneticPr fontId="1" type="noConversion"/>
  </si>
  <si>
    <t>Resistor</t>
    <phoneticPr fontId="1" type="noConversion"/>
  </si>
  <si>
    <t>Capcitor</t>
    <phoneticPr fontId="1" type="noConversion"/>
  </si>
  <si>
    <t>C0805</t>
  </si>
  <si>
    <t>C0805</t>
    <phoneticPr fontId="1" type="noConversion"/>
  </si>
  <si>
    <t>50V耐压 C0805 MLCC</t>
    <phoneticPr fontId="1" type="noConversion"/>
  </si>
  <si>
    <t>100nF</t>
    <phoneticPr fontId="1" type="noConversion"/>
  </si>
  <si>
    <t>4.7uF</t>
    <phoneticPr fontId="1" type="noConversion"/>
  </si>
  <si>
    <t>22uF</t>
    <phoneticPr fontId="1" type="noConversion"/>
  </si>
  <si>
    <t>6.8nF</t>
    <phoneticPr fontId="1" type="noConversion"/>
  </si>
  <si>
    <t>22nF</t>
    <phoneticPr fontId="1" type="noConversion"/>
  </si>
  <si>
    <t>100uF</t>
    <phoneticPr fontId="1" type="noConversion"/>
  </si>
  <si>
    <t>C1210</t>
    <phoneticPr fontId="1" type="noConversion"/>
  </si>
  <si>
    <t>100uF C1210 MLCC 耐压至少25V</t>
    <phoneticPr fontId="1" type="noConversion"/>
  </si>
  <si>
    <t>PESD0603V05P03</t>
    <phoneticPr fontId="1" type="noConversion"/>
  </si>
  <si>
    <t>R0603</t>
    <phoneticPr fontId="1" type="noConversion"/>
  </si>
  <si>
    <t>5V TVS管 7.3V击穿，防静电</t>
    <phoneticPr fontId="1" type="noConversion"/>
  </si>
  <si>
    <t>5.0V</t>
    <phoneticPr fontId="1" type="noConversion"/>
  </si>
  <si>
    <t>触摸天线</t>
    <phoneticPr fontId="1" type="noConversion"/>
  </si>
  <si>
    <t>厦门芯网</t>
    <phoneticPr fontId="1" type="noConversion"/>
  </si>
  <si>
    <t>F9-10-6-9.4无针</t>
    <phoneticPr fontId="1" type="noConversion"/>
  </si>
  <si>
    <t>BOM成本</t>
    <phoneticPr fontId="1" type="noConversion"/>
  </si>
  <si>
    <t>3D打印外壳</t>
    <phoneticPr fontId="1" type="noConversion"/>
  </si>
  <si>
    <t>PCB</t>
    <phoneticPr fontId="1" type="noConversion"/>
  </si>
  <si>
    <t>JLC</t>
    <phoneticPr fontId="1" type="noConversion"/>
  </si>
  <si>
    <t>包括主板和电池连接小板</t>
    <phoneticPr fontId="1" type="noConversion"/>
  </si>
  <si>
    <t>FR4 1.6mm</t>
    <phoneticPr fontId="1" type="noConversion"/>
  </si>
  <si>
    <t>0.2mm</t>
    <phoneticPr fontId="1" type="noConversion"/>
  </si>
  <si>
    <t>PETG-CF 89g 50元/kg</t>
    <phoneticPr fontId="1" type="noConversion"/>
  </si>
  <si>
    <t>MB成本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</si>
</sst>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7BBE-87D3-47FD-AF27-8EE4B4EE2F85}">
  <dimension ref="A1:O36"/>
  <sheetViews>
    <sheetView tabSelected="1" workbookViewId="0">
      <selection activeCell="Q9" sqref="Q9"/>
    </sheetView>
  </sheetViews>
  <sheetFormatPr defaultRowHeight="14" x14ac:dyDescent="0.3"/>
  <sheetData>
    <row r="1" spans="1:15" x14ac:dyDescent="0.3">
      <c r="A1" s="3" t="s">
        <v>0</v>
      </c>
      <c r="B1" s="3" t="s">
        <v>1</v>
      </c>
      <c r="C1" s="7" t="s">
        <v>2</v>
      </c>
      <c r="D1" s="7"/>
      <c r="E1" s="7" t="s">
        <v>3</v>
      </c>
      <c r="F1" s="7"/>
      <c r="G1" s="7" t="s">
        <v>19</v>
      </c>
      <c r="H1" s="7"/>
      <c r="I1" s="7" t="s">
        <v>6</v>
      </c>
      <c r="J1" s="7"/>
      <c r="K1" s="7"/>
      <c r="L1" s="7"/>
      <c r="M1" s="3" t="s">
        <v>4</v>
      </c>
      <c r="N1" s="3" t="s">
        <v>5</v>
      </c>
      <c r="O1" s="3" t="s">
        <v>77</v>
      </c>
    </row>
    <row r="2" spans="1:15" x14ac:dyDescent="0.3">
      <c r="A2" s="3">
        <v>1</v>
      </c>
      <c r="B2" s="3">
        <v>1</v>
      </c>
      <c r="C2" s="7" t="s">
        <v>7</v>
      </c>
      <c r="D2" s="7"/>
      <c r="E2" s="7" t="s">
        <v>8</v>
      </c>
      <c r="F2" s="7"/>
      <c r="G2" s="7" t="s">
        <v>9</v>
      </c>
      <c r="H2" s="7"/>
      <c r="I2" s="7" t="s">
        <v>10</v>
      </c>
      <c r="J2" s="7"/>
      <c r="K2" s="7"/>
      <c r="L2" s="7"/>
      <c r="M2" s="3" t="s">
        <v>9</v>
      </c>
      <c r="N2" s="4">
        <v>10</v>
      </c>
      <c r="O2" s="4">
        <f>SUMPRODUCT(B2:B28,N2:N28)</f>
        <v>32.450000000000003</v>
      </c>
    </row>
    <row r="3" spans="1:15" x14ac:dyDescent="0.3">
      <c r="A3" s="3">
        <v>2</v>
      </c>
      <c r="B3" s="3">
        <v>1</v>
      </c>
      <c r="C3" s="7" t="s">
        <v>11</v>
      </c>
      <c r="D3" s="7"/>
      <c r="E3" s="7" t="s">
        <v>12</v>
      </c>
      <c r="F3" s="7"/>
      <c r="G3" s="7">
        <v>21700</v>
      </c>
      <c r="H3" s="7"/>
      <c r="I3" s="7" t="s">
        <v>13</v>
      </c>
      <c r="J3" s="7"/>
      <c r="K3" s="7"/>
      <c r="L3" s="7"/>
      <c r="M3" s="3" t="s">
        <v>9</v>
      </c>
      <c r="N3" s="4">
        <v>9.98</v>
      </c>
      <c r="O3" s="3" t="s">
        <v>85</v>
      </c>
    </row>
    <row r="4" spans="1:15" x14ac:dyDescent="0.3">
      <c r="A4" s="3">
        <v>3</v>
      </c>
      <c r="B4" s="3">
        <v>1</v>
      </c>
      <c r="C4" s="7" t="s">
        <v>14</v>
      </c>
      <c r="D4" s="7"/>
      <c r="E4" s="7" t="s">
        <v>15</v>
      </c>
      <c r="F4" s="7"/>
      <c r="G4" s="7" t="s">
        <v>35</v>
      </c>
      <c r="H4" s="7"/>
      <c r="I4" s="7" t="s">
        <v>16</v>
      </c>
      <c r="J4" s="7"/>
      <c r="K4" s="7"/>
      <c r="L4" s="7"/>
      <c r="M4" s="3" t="s">
        <v>9</v>
      </c>
      <c r="N4" s="4">
        <v>1.1599999999999999</v>
      </c>
      <c r="O4" s="4">
        <f>SUMPRODUCT(B4:B25,N4:N25)</f>
        <v>6.91</v>
      </c>
    </row>
    <row r="5" spans="1:15" x14ac:dyDescent="0.3">
      <c r="A5" s="3">
        <v>4</v>
      </c>
      <c r="B5" s="3">
        <v>1</v>
      </c>
      <c r="C5" s="7" t="s">
        <v>17</v>
      </c>
      <c r="D5" s="7"/>
      <c r="E5" s="7" t="s">
        <v>18</v>
      </c>
      <c r="F5" s="7"/>
      <c r="G5" s="7" t="s">
        <v>34</v>
      </c>
      <c r="H5" s="7"/>
      <c r="I5" s="7" t="s">
        <v>20</v>
      </c>
      <c r="J5" s="7"/>
      <c r="K5" s="7"/>
      <c r="L5" s="7"/>
      <c r="M5" s="3" t="s">
        <v>9</v>
      </c>
      <c r="N5" s="4">
        <v>2.62</v>
      </c>
      <c r="O5" s="5"/>
    </row>
    <row r="6" spans="1:15" x14ac:dyDescent="0.3">
      <c r="A6" s="3">
        <v>5</v>
      </c>
      <c r="B6" s="3">
        <v>1</v>
      </c>
      <c r="C6" s="7" t="s">
        <v>21</v>
      </c>
      <c r="D6" s="7"/>
      <c r="E6" s="7" t="s">
        <v>24</v>
      </c>
      <c r="F6" s="7"/>
      <c r="G6" s="7" t="s">
        <v>33</v>
      </c>
      <c r="H6" s="7"/>
      <c r="I6" s="7" t="s">
        <v>22</v>
      </c>
      <c r="J6" s="7"/>
      <c r="K6" s="7"/>
      <c r="L6" s="7"/>
      <c r="M6" s="3" t="s">
        <v>9</v>
      </c>
      <c r="N6" s="4">
        <v>1.3</v>
      </c>
      <c r="O6" s="5"/>
    </row>
    <row r="7" spans="1:15" x14ac:dyDescent="0.3">
      <c r="A7" s="3">
        <v>6</v>
      </c>
      <c r="B7" s="3">
        <v>1</v>
      </c>
      <c r="C7" s="7" t="s">
        <v>23</v>
      </c>
      <c r="D7" s="7"/>
      <c r="E7" s="7" t="s">
        <v>25</v>
      </c>
      <c r="F7" s="7"/>
      <c r="G7" s="7" t="s">
        <v>32</v>
      </c>
      <c r="H7" s="7"/>
      <c r="I7" s="7" t="s">
        <v>26</v>
      </c>
      <c r="J7" s="7"/>
      <c r="K7" s="7"/>
      <c r="L7" s="7"/>
      <c r="M7" s="3" t="s">
        <v>9</v>
      </c>
      <c r="N7" s="4">
        <v>0.15</v>
      </c>
      <c r="O7" s="5"/>
    </row>
    <row r="8" spans="1:15" x14ac:dyDescent="0.3">
      <c r="A8" s="3">
        <v>7</v>
      </c>
      <c r="B8" s="3">
        <v>1</v>
      </c>
      <c r="C8" s="7" t="s">
        <v>27</v>
      </c>
      <c r="D8" s="7"/>
      <c r="E8" s="7" t="s">
        <v>9</v>
      </c>
      <c r="F8" s="7"/>
      <c r="G8" s="7" t="s">
        <v>31</v>
      </c>
      <c r="H8" s="7"/>
      <c r="I8" s="7" t="s">
        <v>28</v>
      </c>
      <c r="J8" s="7"/>
      <c r="K8" s="7"/>
      <c r="L8" s="7"/>
      <c r="M8" s="3" t="s">
        <v>9</v>
      </c>
      <c r="N8" s="4">
        <v>0.4</v>
      </c>
      <c r="O8" s="5"/>
    </row>
    <row r="9" spans="1:15" x14ac:dyDescent="0.3">
      <c r="A9" s="3">
        <v>8</v>
      </c>
      <c r="B9" s="3">
        <v>1</v>
      </c>
      <c r="C9" s="7" t="s">
        <v>29</v>
      </c>
      <c r="D9" s="7"/>
      <c r="E9" s="7" t="s">
        <v>9</v>
      </c>
      <c r="F9" s="7"/>
      <c r="G9" s="7" t="s">
        <v>30</v>
      </c>
      <c r="H9" s="7"/>
      <c r="I9" s="7" t="s">
        <v>36</v>
      </c>
      <c r="J9" s="7"/>
      <c r="K9" s="7"/>
      <c r="L9" s="7"/>
      <c r="M9" s="3" t="s">
        <v>9</v>
      </c>
      <c r="N9" s="4">
        <v>0.02</v>
      </c>
      <c r="O9" s="5"/>
    </row>
    <row r="10" spans="1:15" x14ac:dyDescent="0.3">
      <c r="A10" s="3">
        <v>9</v>
      </c>
      <c r="B10" s="3">
        <v>1</v>
      </c>
      <c r="C10" s="7" t="s">
        <v>37</v>
      </c>
      <c r="D10" s="7"/>
      <c r="E10" s="7" t="s">
        <v>38</v>
      </c>
      <c r="F10" s="7"/>
      <c r="G10" s="7" t="s">
        <v>39</v>
      </c>
      <c r="H10" s="7"/>
      <c r="I10" s="7" t="s">
        <v>40</v>
      </c>
      <c r="J10" s="7"/>
      <c r="K10" s="7"/>
      <c r="L10" s="7"/>
      <c r="M10" s="3" t="s">
        <v>9</v>
      </c>
      <c r="N10" s="4">
        <v>0.12</v>
      </c>
      <c r="O10" s="5"/>
    </row>
    <row r="11" spans="1:15" x14ac:dyDescent="0.3">
      <c r="A11" s="3">
        <v>10</v>
      </c>
      <c r="B11" s="3">
        <v>1</v>
      </c>
      <c r="C11" s="7" t="s">
        <v>41</v>
      </c>
      <c r="D11" s="7"/>
      <c r="E11" s="7" t="s">
        <v>42</v>
      </c>
      <c r="F11" s="7"/>
      <c r="G11" s="7" t="s">
        <v>43</v>
      </c>
      <c r="H11" s="7"/>
      <c r="I11" s="7" t="s">
        <v>44</v>
      </c>
      <c r="J11" s="7"/>
      <c r="K11" s="7"/>
      <c r="L11" s="7"/>
      <c r="M11" s="3" t="s">
        <v>45</v>
      </c>
      <c r="N11" s="4">
        <v>0.2</v>
      </c>
      <c r="O11" s="5"/>
    </row>
    <row r="12" spans="1:15" x14ac:dyDescent="0.3">
      <c r="A12" s="3">
        <v>11</v>
      </c>
      <c r="B12" s="3">
        <v>1</v>
      </c>
      <c r="C12" s="8" t="s">
        <v>47</v>
      </c>
      <c r="D12" s="7"/>
      <c r="E12" s="7" t="s">
        <v>42</v>
      </c>
      <c r="F12" s="7"/>
      <c r="G12" s="7" t="s">
        <v>43</v>
      </c>
      <c r="H12" s="7"/>
      <c r="I12" s="8" t="s">
        <v>46</v>
      </c>
      <c r="J12" s="7"/>
      <c r="K12" s="7"/>
      <c r="L12" s="7"/>
      <c r="M12" s="3" t="s">
        <v>45</v>
      </c>
      <c r="N12" s="4">
        <v>0.2</v>
      </c>
      <c r="O12" s="5"/>
    </row>
    <row r="13" spans="1:15" x14ac:dyDescent="0.3">
      <c r="A13" s="3">
        <v>12</v>
      </c>
      <c r="B13" s="6">
        <v>2</v>
      </c>
      <c r="C13" s="7" t="s">
        <v>57</v>
      </c>
      <c r="D13" s="7"/>
      <c r="E13" s="7" t="s">
        <v>9</v>
      </c>
      <c r="F13" s="7"/>
      <c r="G13" s="7" t="s">
        <v>49</v>
      </c>
      <c r="H13" s="7"/>
      <c r="I13" s="7" t="s">
        <v>50</v>
      </c>
      <c r="J13" s="7"/>
      <c r="K13" s="7"/>
      <c r="L13" s="7"/>
      <c r="M13" s="3" t="s">
        <v>51</v>
      </c>
      <c r="N13" s="4">
        <v>0.01</v>
      </c>
      <c r="O13" s="5"/>
    </row>
    <row r="14" spans="1:15" x14ac:dyDescent="0.3">
      <c r="A14" s="3">
        <v>13</v>
      </c>
      <c r="B14" s="6">
        <v>3</v>
      </c>
      <c r="C14" s="7" t="s">
        <v>57</v>
      </c>
      <c r="D14" s="7"/>
      <c r="E14" s="7" t="s">
        <v>9</v>
      </c>
      <c r="F14" s="7"/>
      <c r="G14" s="7" t="s">
        <v>49</v>
      </c>
      <c r="H14" s="7"/>
      <c r="I14" s="7" t="s">
        <v>9</v>
      </c>
      <c r="J14" s="7"/>
      <c r="K14" s="7"/>
      <c r="L14" s="7"/>
      <c r="M14" s="3" t="s">
        <v>52</v>
      </c>
      <c r="N14" s="4">
        <v>0.01</v>
      </c>
      <c r="O14" s="5"/>
    </row>
    <row r="15" spans="1:15" x14ac:dyDescent="0.3">
      <c r="A15" s="3">
        <v>14</v>
      </c>
      <c r="B15" s="3">
        <v>1</v>
      </c>
      <c r="C15" s="7" t="s">
        <v>57</v>
      </c>
      <c r="D15" s="7"/>
      <c r="E15" s="7" t="s">
        <v>9</v>
      </c>
      <c r="F15" s="7"/>
      <c r="G15" s="7" t="s">
        <v>49</v>
      </c>
      <c r="H15" s="7"/>
      <c r="I15" s="7" t="s">
        <v>9</v>
      </c>
      <c r="J15" s="7"/>
      <c r="K15" s="7"/>
      <c r="L15" s="7"/>
      <c r="M15" s="3" t="s">
        <v>53</v>
      </c>
      <c r="N15" s="4">
        <v>0.01</v>
      </c>
      <c r="O15" s="5"/>
    </row>
    <row r="16" spans="1:15" x14ac:dyDescent="0.3">
      <c r="A16" s="3">
        <v>15</v>
      </c>
      <c r="B16" s="3">
        <v>1</v>
      </c>
      <c r="C16" s="7" t="s">
        <v>57</v>
      </c>
      <c r="D16" s="7"/>
      <c r="E16" s="7" t="s">
        <v>9</v>
      </c>
      <c r="F16" s="7"/>
      <c r="G16" s="7" t="s">
        <v>48</v>
      </c>
      <c r="H16" s="7"/>
      <c r="I16" s="7" t="s">
        <v>9</v>
      </c>
      <c r="J16" s="7"/>
      <c r="K16" s="7"/>
      <c r="L16" s="7"/>
      <c r="M16" s="3" t="s">
        <v>54</v>
      </c>
      <c r="N16" s="4">
        <v>0.01</v>
      </c>
      <c r="O16" s="5"/>
    </row>
    <row r="17" spans="1:15" x14ac:dyDescent="0.3">
      <c r="A17" s="3">
        <v>16</v>
      </c>
      <c r="B17" s="3">
        <v>1</v>
      </c>
      <c r="C17" s="7" t="s">
        <v>57</v>
      </c>
      <c r="D17" s="7"/>
      <c r="E17" s="7" t="s">
        <v>9</v>
      </c>
      <c r="F17" s="7"/>
      <c r="G17" s="7" t="s">
        <v>48</v>
      </c>
      <c r="H17" s="7"/>
      <c r="I17" s="7" t="s">
        <v>9</v>
      </c>
      <c r="J17" s="7"/>
      <c r="K17" s="7"/>
      <c r="L17" s="7"/>
      <c r="M17" s="3" t="s">
        <v>55</v>
      </c>
      <c r="N17" s="4">
        <v>0.01</v>
      </c>
      <c r="O17" s="5"/>
    </row>
    <row r="18" spans="1:15" x14ac:dyDescent="0.3">
      <c r="A18" s="3">
        <v>17</v>
      </c>
      <c r="B18" s="3">
        <v>1</v>
      </c>
      <c r="C18" s="7" t="s">
        <v>57</v>
      </c>
      <c r="D18" s="7"/>
      <c r="E18" s="7" t="s">
        <v>9</v>
      </c>
      <c r="F18" s="7"/>
      <c r="G18" s="7" t="s">
        <v>48</v>
      </c>
      <c r="H18" s="7"/>
      <c r="I18" s="7" t="s">
        <v>9</v>
      </c>
      <c r="J18" s="7"/>
      <c r="K18" s="7"/>
      <c r="L18" s="7"/>
      <c r="M18" s="3" t="s">
        <v>56</v>
      </c>
      <c r="N18" s="4">
        <v>0.01</v>
      </c>
      <c r="O18" s="5"/>
    </row>
    <row r="19" spans="1:15" x14ac:dyDescent="0.3">
      <c r="A19" s="3">
        <v>18</v>
      </c>
      <c r="B19" s="3">
        <v>2</v>
      </c>
      <c r="C19" s="7" t="s">
        <v>58</v>
      </c>
      <c r="D19" s="7"/>
      <c r="E19" s="7" t="s">
        <v>9</v>
      </c>
      <c r="F19" s="7"/>
      <c r="G19" s="7" t="s">
        <v>60</v>
      </c>
      <c r="H19" s="7"/>
      <c r="I19" s="7" t="s">
        <v>61</v>
      </c>
      <c r="J19" s="7"/>
      <c r="K19" s="7"/>
      <c r="L19" s="7"/>
      <c r="M19" s="3" t="s">
        <v>62</v>
      </c>
      <c r="N19" s="4">
        <v>1.4999999999999999E-2</v>
      </c>
      <c r="O19" s="5"/>
    </row>
    <row r="20" spans="1:15" x14ac:dyDescent="0.3">
      <c r="A20" s="3">
        <v>19</v>
      </c>
      <c r="B20" s="3">
        <v>1</v>
      </c>
      <c r="C20" s="7" t="s">
        <v>58</v>
      </c>
      <c r="D20" s="7"/>
      <c r="E20" s="7" t="s">
        <v>9</v>
      </c>
      <c r="F20" s="7"/>
      <c r="G20" s="7" t="s">
        <v>60</v>
      </c>
      <c r="H20" s="7"/>
      <c r="I20" s="7" t="s">
        <v>9</v>
      </c>
      <c r="J20" s="7"/>
      <c r="K20" s="7"/>
      <c r="L20" s="7"/>
      <c r="M20" s="3" t="s">
        <v>63</v>
      </c>
      <c r="N20" s="4">
        <v>0.04</v>
      </c>
      <c r="O20" s="5"/>
    </row>
    <row r="21" spans="1:15" x14ac:dyDescent="0.3">
      <c r="A21" s="3">
        <v>20</v>
      </c>
      <c r="B21" s="3">
        <v>3</v>
      </c>
      <c r="C21" s="7" t="s">
        <v>58</v>
      </c>
      <c r="D21" s="7"/>
      <c r="E21" s="7" t="s">
        <v>9</v>
      </c>
      <c r="F21" s="7"/>
      <c r="G21" s="7" t="s">
        <v>59</v>
      </c>
      <c r="H21" s="7"/>
      <c r="I21" s="7" t="s">
        <v>9</v>
      </c>
      <c r="J21" s="7"/>
      <c r="K21" s="7"/>
      <c r="L21" s="7"/>
      <c r="M21" s="3" t="s">
        <v>64</v>
      </c>
      <c r="N21" s="4">
        <v>0.08</v>
      </c>
      <c r="O21" s="5"/>
    </row>
    <row r="22" spans="1:15" x14ac:dyDescent="0.3">
      <c r="A22" s="3">
        <v>21</v>
      </c>
      <c r="B22" s="3">
        <v>1</v>
      </c>
      <c r="C22" s="7" t="s">
        <v>58</v>
      </c>
      <c r="D22" s="7"/>
      <c r="E22" s="7" t="s">
        <v>9</v>
      </c>
      <c r="F22" s="7"/>
      <c r="G22" s="7" t="s">
        <v>59</v>
      </c>
      <c r="H22" s="7"/>
      <c r="I22" s="7" t="s">
        <v>9</v>
      </c>
      <c r="J22" s="7"/>
      <c r="K22" s="7"/>
      <c r="L22" s="7"/>
      <c r="M22" s="3" t="s">
        <v>65</v>
      </c>
      <c r="N22" s="4">
        <v>0.02</v>
      </c>
      <c r="O22" s="5"/>
    </row>
    <row r="23" spans="1:15" x14ac:dyDescent="0.3">
      <c r="A23" s="3">
        <v>22</v>
      </c>
      <c r="B23" s="3">
        <v>2</v>
      </c>
      <c r="C23" s="7" t="s">
        <v>58</v>
      </c>
      <c r="D23" s="7"/>
      <c r="E23" s="7" t="s">
        <v>9</v>
      </c>
      <c r="F23" s="7"/>
      <c r="G23" s="7" t="s">
        <v>59</v>
      </c>
      <c r="H23" s="7"/>
      <c r="I23" s="7" t="s">
        <v>9</v>
      </c>
      <c r="J23" s="7"/>
      <c r="K23" s="7"/>
      <c r="L23" s="7"/>
      <c r="M23" s="3" t="s">
        <v>66</v>
      </c>
      <c r="N23" s="4">
        <v>0.02</v>
      </c>
      <c r="O23" s="5"/>
    </row>
    <row r="24" spans="1:15" x14ac:dyDescent="0.3">
      <c r="A24" s="3">
        <v>23</v>
      </c>
      <c r="B24" s="3">
        <v>1</v>
      </c>
      <c r="C24" s="7" t="s">
        <v>58</v>
      </c>
      <c r="D24" s="7"/>
      <c r="E24" s="7" t="s">
        <v>9</v>
      </c>
      <c r="F24" s="7"/>
      <c r="G24" s="7" t="s">
        <v>68</v>
      </c>
      <c r="H24" s="7"/>
      <c r="I24" s="7" t="s">
        <v>69</v>
      </c>
      <c r="J24" s="7"/>
      <c r="K24" s="7"/>
      <c r="L24" s="7"/>
      <c r="M24" s="3" t="s">
        <v>67</v>
      </c>
      <c r="N24" s="4">
        <v>0.24</v>
      </c>
      <c r="O24" s="5"/>
    </row>
    <row r="25" spans="1:15" x14ac:dyDescent="0.3">
      <c r="A25" s="3">
        <v>24</v>
      </c>
      <c r="B25" s="3">
        <v>1</v>
      </c>
      <c r="C25" s="7" t="s">
        <v>70</v>
      </c>
      <c r="D25" s="7"/>
      <c r="E25" s="7" t="s">
        <v>9</v>
      </c>
      <c r="F25" s="7"/>
      <c r="G25" s="7" t="s">
        <v>71</v>
      </c>
      <c r="H25" s="7"/>
      <c r="I25" s="7" t="s">
        <v>72</v>
      </c>
      <c r="J25" s="7"/>
      <c r="K25" s="7"/>
      <c r="L25" s="7"/>
      <c r="M25" s="3" t="s">
        <v>73</v>
      </c>
      <c r="N25" s="4">
        <v>0.04</v>
      </c>
      <c r="O25" s="5"/>
    </row>
    <row r="26" spans="1:15" x14ac:dyDescent="0.3">
      <c r="A26" s="3">
        <v>25</v>
      </c>
      <c r="B26" s="3">
        <v>1</v>
      </c>
      <c r="C26" s="7" t="s">
        <v>74</v>
      </c>
      <c r="D26" s="7"/>
      <c r="E26" s="7" t="s">
        <v>75</v>
      </c>
      <c r="F26" s="7"/>
      <c r="G26" s="7" t="s">
        <v>76</v>
      </c>
      <c r="H26" s="7"/>
      <c r="I26" s="7" t="s">
        <v>74</v>
      </c>
      <c r="J26" s="7"/>
      <c r="K26" s="7"/>
      <c r="L26" s="7"/>
      <c r="M26" s="3" t="s">
        <v>9</v>
      </c>
      <c r="N26" s="4">
        <v>0.11</v>
      </c>
      <c r="O26" s="5"/>
    </row>
    <row r="27" spans="1:15" x14ac:dyDescent="0.3">
      <c r="A27" s="3">
        <v>26</v>
      </c>
      <c r="B27" s="3">
        <v>1</v>
      </c>
      <c r="C27" s="7" t="s">
        <v>78</v>
      </c>
      <c r="D27" s="7"/>
      <c r="E27" s="7" t="s">
        <v>9</v>
      </c>
      <c r="F27" s="7"/>
      <c r="G27" s="7" t="s">
        <v>9</v>
      </c>
      <c r="H27" s="7"/>
      <c r="I27" s="7" t="s">
        <v>84</v>
      </c>
      <c r="J27" s="7"/>
      <c r="K27" s="7"/>
      <c r="L27" s="7"/>
      <c r="M27" s="3" t="s">
        <v>83</v>
      </c>
      <c r="N27" s="4">
        <v>4.45</v>
      </c>
      <c r="O27" s="5"/>
    </row>
    <row r="28" spans="1:15" x14ac:dyDescent="0.3">
      <c r="A28" s="3">
        <v>27</v>
      </c>
      <c r="B28" s="3">
        <v>1</v>
      </c>
      <c r="C28" s="7" t="s">
        <v>79</v>
      </c>
      <c r="D28" s="7"/>
      <c r="E28" s="7" t="s">
        <v>80</v>
      </c>
      <c r="F28" s="7"/>
      <c r="G28" s="7" t="s">
        <v>9</v>
      </c>
      <c r="H28" s="7"/>
      <c r="I28" s="7" t="s">
        <v>81</v>
      </c>
      <c r="J28" s="7"/>
      <c r="K28" s="7"/>
      <c r="L28" s="7"/>
      <c r="M28" s="3" t="s">
        <v>82</v>
      </c>
      <c r="N28" s="4">
        <v>1</v>
      </c>
      <c r="O28" s="5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</row>
    <row r="31" spans="1: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</row>
    <row r="32" spans="1: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</row>
    <row r="35" spans="1:1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x14ac:dyDescent="0.3">
      <c r="A36" s="1"/>
      <c r="B36" s="1"/>
      <c r="C36" s="9"/>
      <c r="D36" s="9"/>
      <c r="E36" s="9"/>
      <c r="F36" s="9"/>
      <c r="M36" s="1"/>
      <c r="N36" s="2"/>
    </row>
  </sheetData>
  <mergeCells count="114">
    <mergeCell ref="C1:D1"/>
    <mergeCell ref="E1:F1"/>
    <mergeCell ref="C2:D2"/>
    <mergeCell ref="C3:D3"/>
    <mergeCell ref="C4:D4"/>
    <mergeCell ref="C5:D5"/>
    <mergeCell ref="C12:D12"/>
    <mergeCell ref="C13:D13"/>
    <mergeCell ref="C14:D14"/>
    <mergeCell ref="C15:D15"/>
    <mergeCell ref="C16:D16"/>
    <mergeCell ref="C17:D17"/>
    <mergeCell ref="C6:D6"/>
    <mergeCell ref="C7:D7"/>
    <mergeCell ref="C8:D8"/>
    <mergeCell ref="C9:D9"/>
    <mergeCell ref="C10:D10"/>
    <mergeCell ref="C11:D11"/>
    <mergeCell ref="E13:F13"/>
    <mergeCell ref="E14:F14"/>
    <mergeCell ref="E15:F15"/>
    <mergeCell ref="E16:F16"/>
    <mergeCell ref="C36:D36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C24:D24"/>
    <mergeCell ref="C25:D25"/>
    <mergeCell ref="C27:D27"/>
    <mergeCell ref="C28:D28"/>
    <mergeCell ref="C18:D18"/>
    <mergeCell ref="C19:D19"/>
    <mergeCell ref="C20:D20"/>
    <mergeCell ref="C21:D21"/>
    <mergeCell ref="C22:D22"/>
    <mergeCell ref="C23:D23"/>
    <mergeCell ref="I13:L13"/>
    <mergeCell ref="I14:L14"/>
    <mergeCell ref="E36:F36"/>
    <mergeCell ref="I1:L1"/>
    <mergeCell ref="I2:L2"/>
    <mergeCell ref="I3:L3"/>
    <mergeCell ref="I4:L4"/>
    <mergeCell ref="I5:L5"/>
    <mergeCell ref="I6:L6"/>
    <mergeCell ref="I7:L7"/>
    <mergeCell ref="I8:L8"/>
    <mergeCell ref="E23:F23"/>
    <mergeCell ref="E24:F24"/>
    <mergeCell ref="E25:F25"/>
    <mergeCell ref="E27:F27"/>
    <mergeCell ref="E28:F28"/>
    <mergeCell ref="E17:F17"/>
    <mergeCell ref="E18:F18"/>
    <mergeCell ref="E19:F19"/>
    <mergeCell ref="E20:F20"/>
    <mergeCell ref="E21:F21"/>
    <mergeCell ref="E22:F22"/>
    <mergeCell ref="E11:F11"/>
    <mergeCell ref="E12:F12"/>
    <mergeCell ref="G1:H1"/>
    <mergeCell ref="G2:H2"/>
    <mergeCell ref="G3:H3"/>
    <mergeCell ref="G4:H4"/>
    <mergeCell ref="G5:H5"/>
    <mergeCell ref="G6:H6"/>
    <mergeCell ref="G7:H7"/>
    <mergeCell ref="I27:L27"/>
    <mergeCell ref="I28:L28"/>
    <mergeCell ref="I21:L21"/>
    <mergeCell ref="I22:L22"/>
    <mergeCell ref="I23:L23"/>
    <mergeCell ref="I24:L24"/>
    <mergeCell ref="I25:L25"/>
    <mergeCell ref="I15:L15"/>
    <mergeCell ref="I16:L16"/>
    <mergeCell ref="I17:L17"/>
    <mergeCell ref="I18:L18"/>
    <mergeCell ref="I19:L19"/>
    <mergeCell ref="I20:L20"/>
    <mergeCell ref="I9:L9"/>
    <mergeCell ref="I10:L10"/>
    <mergeCell ref="I11:L11"/>
    <mergeCell ref="I12:L12"/>
    <mergeCell ref="G14:H14"/>
    <mergeCell ref="G15:H15"/>
    <mergeCell ref="G16:H16"/>
    <mergeCell ref="G17:H17"/>
    <mergeCell ref="G18:H18"/>
    <mergeCell ref="G19:H19"/>
    <mergeCell ref="G8:H8"/>
    <mergeCell ref="G9:H9"/>
    <mergeCell ref="G10:H10"/>
    <mergeCell ref="G11:H11"/>
    <mergeCell ref="G12:H12"/>
    <mergeCell ref="G13:H13"/>
    <mergeCell ref="I26:L26"/>
    <mergeCell ref="C26:D26"/>
    <mergeCell ref="E26:F26"/>
    <mergeCell ref="G26:H26"/>
    <mergeCell ref="G25:H25"/>
    <mergeCell ref="G27:H27"/>
    <mergeCell ref="G28:H28"/>
    <mergeCell ref="G20:H20"/>
    <mergeCell ref="G21:H21"/>
    <mergeCell ref="G22:H22"/>
    <mergeCell ref="G23:H23"/>
    <mergeCell ref="G24:H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 li</dc:creator>
  <cp:lastModifiedBy>shuo li</cp:lastModifiedBy>
  <dcterms:created xsi:type="dcterms:W3CDTF">2026-05-08T08:23:20Z</dcterms:created>
  <dcterms:modified xsi:type="dcterms:W3CDTF">2026-05-08T16:32:27Z</dcterms:modified>
</cp:coreProperties>
</file>